
<file path=[Content_Types].xml><?xml version="1.0" encoding="utf-8"?>
<Types xmlns="http://schemas.openxmlformats.org/package/2006/content-types">
  <Default Extension="bin" ContentType="application/vnd.ms-office.activeX"/>
  <Override PartName="/xl/printerSettings/printerSettings1.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8C4F1C90-05EB-6A55-5F09-09C24B55AC0B}"/>
  <workbookPr filterPrivacy="1" codeName="ThisWorkbook" defaultThemeVersion="124226"/>
  <bookViews>
    <workbookView xWindow="240" yWindow="135" windowWidth="14805" windowHeight="7980"/>
  </bookViews>
  <sheets>
    <sheet name="param" sheetId="1" r:id="rId1"/>
    <sheet name="COPYSOURCE" sheetId="3" r:id="rId2"/>
  </sheets>
  <calcPr calcId="124519"/>
</workbook>
</file>

<file path=xl/calcChain.xml><?xml version="1.0" encoding="utf-8"?>
<calcChain xmlns="http://schemas.openxmlformats.org/spreadsheetml/2006/main">
  <c r="M23" i="3"/>
  <c r="L23"/>
  <c r="K23"/>
  <c r="J23"/>
  <c r="I23"/>
  <c r="H23"/>
  <c r="G23"/>
  <c r="F23"/>
  <c r="E23"/>
  <c r="D23"/>
  <c r="C23"/>
  <c r="B23"/>
  <c r="M22"/>
  <c r="L22"/>
  <c r="K22"/>
  <c r="J22"/>
  <c r="I22"/>
  <c r="H22"/>
  <c r="G22"/>
  <c r="F22"/>
  <c r="E22"/>
  <c r="D22"/>
  <c r="C22"/>
  <c r="B22"/>
  <c r="M21"/>
  <c r="L21"/>
  <c r="K21"/>
  <c r="J21"/>
  <c r="I21"/>
  <c r="H21"/>
  <c r="G21"/>
  <c r="F21"/>
  <c r="E21"/>
  <c r="D21"/>
  <c r="C21"/>
  <c r="B21"/>
  <c r="M20"/>
  <c r="L20"/>
  <c r="K20"/>
  <c r="J20"/>
  <c r="I20"/>
  <c r="H20"/>
  <c r="G20"/>
  <c r="F20"/>
  <c r="E20"/>
  <c r="D20"/>
  <c r="C20"/>
  <c r="B20"/>
  <c r="M19"/>
  <c r="L19"/>
  <c r="K19"/>
  <c r="J19"/>
  <c r="I19"/>
  <c r="H19"/>
  <c r="G19"/>
  <c r="F19"/>
  <c r="E19"/>
  <c r="D19"/>
  <c r="C19"/>
  <c r="B19"/>
  <c r="M18"/>
  <c r="L18"/>
  <c r="K18"/>
  <c r="J18"/>
  <c r="I18"/>
  <c r="H18"/>
  <c r="G18"/>
  <c r="F18"/>
  <c r="E18"/>
  <c r="D18"/>
  <c r="C18"/>
  <c r="B18"/>
</calcChain>
</file>

<file path=xl/sharedStrings.xml><?xml version="1.0" encoding="utf-8"?>
<sst xmlns="http://schemas.openxmlformats.org/spreadsheetml/2006/main" count="52" uniqueCount="46">
  <si>
    <t>开始行</t>
    <phoneticPr fontId="1" type="noConversion"/>
  </si>
  <si>
    <t>开始列</t>
    <phoneticPr fontId="1" type="noConversion"/>
  </si>
  <si>
    <t>终了行</t>
    <phoneticPr fontId="1" type="noConversion"/>
  </si>
  <si>
    <t>终了列</t>
    <phoneticPr fontId="1" type="noConversion"/>
  </si>
  <si>
    <t>PATH</t>
    <phoneticPr fontId="1" type="noConversion"/>
  </si>
  <si>
    <t>Sheet Name</t>
    <phoneticPr fontId="1" type="noConversion"/>
  </si>
  <si>
    <t>copy destination</t>
    <phoneticPr fontId="1" type="noConversion"/>
  </si>
  <si>
    <t>copy source</t>
    <phoneticPr fontId="1" type="noConversion"/>
  </si>
  <si>
    <t>A</t>
    <phoneticPr fontId="1" type="noConversion"/>
  </si>
  <si>
    <t>科目\时间</t>
  </si>
  <si>
    <t>2017-06-30</t>
  </si>
  <si>
    <t>2017-03-31</t>
  </si>
  <si>
    <t>2016-12-31</t>
  </si>
  <si>
    <t>2016-09-30</t>
  </si>
  <si>
    <t>2016-06-30</t>
  </si>
  <si>
    <t>2016-03-31</t>
  </si>
  <si>
    <t>2015-12-31</t>
  </si>
  <si>
    <t>2015-09-30</t>
  </si>
  <si>
    <t>2015-06-30</t>
  </si>
  <si>
    <t>2015-03-31</t>
  </si>
  <si>
    <t>2014-12-31</t>
  </si>
  <si>
    <t>基本每股收益</t>
  </si>
  <si>
    <t>净利润</t>
  </si>
  <si>
    <t>净利润同比增长率</t>
  </si>
  <si>
    <t>扣非净利润</t>
  </si>
  <si>
    <t>营业总收入</t>
  </si>
  <si>
    <t>营业总收入同比增长率</t>
  </si>
  <si>
    <t>每股净资产</t>
  </si>
  <si>
    <t>净资产收益率</t>
  </si>
  <si>
    <t>净资产收益率-摊薄</t>
  </si>
  <si>
    <t>资产负债比率</t>
  </si>
  <si>
    <t>每股资本公积金</t>
  </si>
  <si>
    <t>每股未分配利润</t>
  </si>
  <si>
    <t>每股经营现金流</t>
  </si>
  <si>
    <t>销售毛利率</t>
  </si>
  <si>
    <t>存货周转率</t>
  </si>
  <si>
    <r>
      <rPr>
        <sz val="11"/>
        <color indexed="8"/>
        <rFont val="宋体"/>
        <charset val="134"/>
      </rPr>
      <t>扣非净利润大于</t>
    </r>
    <r>
      <rPr>
        <sz val="11"/>
        <color indexed="8"/>
        <rFont val="Calibri"/>
        <family val="2"/>
      </rPr>
      <t>0</t>
    </r>
  </si>
  <si>
    <r>
      <rPr>
        <sz val="11"/>
        <color indexed="8"/>
        <rFont val="宋体"/>
        <charset val="134"/>
      </rPr>
      <t>季度</t>
    </r>
    <r>
      <rPr>
        <sz val="11"/>
        <color theme="1"/>
        <rFont val="宋体"/>
        <family val="2"/>
        <scheme val="minor"/>
      </rPr>
      <t>EPS</t>
    </r>
    <r>
      <rPr>
        <sz val="11"/>
        <color indexed="8"/>
        <rFont val="宋体"/>
        <charset val="134"/>
      </rPr>
      <t>同比</t>
    </r>
    <r>
      <rPr>
        <sz val="11"/>
        <color indexed="8"/>
        <rFont val="宋体"/>
        <charset val="134"/>
      </rPr>
      <t>增长大于</t>
    </r>
    <r>
      <rPr>
        <sz val="11"/>
        <color indexed="8"/>
        <rFont val="Calibri"/>
        <family val="2"/>
      </rPr>
      <t>20%</t>
    </r>
  </si>
  <si>
    <r>
      <rPr>
        <sz val="11"/>
        <color indexed="8"/>
        <rFont val="宋体"/>
        <charset val="134"/>
      </rPr>
      <t>净利润同比增长率大于</t>
    </r>
    <r>
      <rPr>
        <sz val="11"/>
        <color theme="1"/>
        <rFont val="宋体"/>
        <family val="2"/>
        <scheme val="minor"/>
      </rPr>
      <t>20%</t>
    </r>
  </si>
  <si>
    <r>
      <rPr>
        <sz val="11"/>
        <color indexed="8"/>
        <rFont val="宋体"/>
        <charset val="134"/>
      </rPr>
      <t>营业收入增长率大于</t>
    </r>
    <r>
      <rPr>
        <sz val="11"/>
        <color indexed="8"/>
        <rFont val="Calibri"/>
        <family val="2"/>
      </rPr>
      <t>25%</t>
    </r>
  </si>
  <si>
    <r>
      <t>1</t>
    </r>
    <r>
      <rPr>
        <sz val="11"/>
        <color indexed="8"/>
        <rFont val="Calibri"/>
        <family val="2"/>
      </rPr>
      <t>0</t>
    </r>
    <r>
      <rPr>
        <sz val="11"/>
        <color indexed="8"/>
        <rFont val="宋体"/>
        <charset val="134"/>
      </rPr>
      <t>送</t>
    </r>
    <r>
      <rPr>
        <sz val="11"/>
        <color indexed="8"/>
        <rFont val="Calibri"/>
        <family val="2"/>
      </rPr>
      <t>10</t>
    </r>
  </si>
  <si>
    <t>G</t>
  </si>
  <si>
    <t>new-finance-data</t>
  </si>
  <si>
    <r>
      <rPr>
        <sz val="11"/>
        <color indexed="8"/>
        <rFont val="宋体"/>
        <charset val="134"/>
      </rPr>
      <t>净资产收益率</t>
    </r>
    <r>
      <rPr>
        <sz val="11"/>
        <color theme="1"/>
        <rFont val="宋体"/>
        <family val="2"/>
        <scheme val="minor"/>
      </rPr>
      <t>-</t>
    </r>
    <r>
      <rPr>
        <sz val="11"/>
        <color indexed="8"/>
        <rFont val="宋体"/>
        <charset val="134"/>
      </rPr>
      <t>摊薄大于5</t>
    </r>
  </si>
  <si>
    <t>销售毛利率大于20</t>
  </si>
  <si>
    <t>D:\FromWget\test</t>
    <phoneticPr fontId="1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</si>
</sst>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4">
    <font>
      <sz val="11"/>
      <color theme="1"/>
      <name val="宋体"/>
      <family val="2"/>
      <scheme val="minor"/>
    </font>
    <font>
      <sz val="9"/>
      <name val="宋体"/>
      <family val="3"/>
      <charset val="134"/>
      <scheme val="minor"/>
    </font>
    <font>
      <sz val="11"/>
      <color indexed="8"/>
      <name val="Calibri"/>
      <family val="2"/>
    </font>
    <font>
      <sz val="11"/>
      <color indexed="8"/>
      <name val="宋体"/>
      <charset val="13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 applyFill="0" applyProtection="0"/>
  </cellStyleXfs>
  <cellXfs count="6">
    <xf numFmtId="0" fontId="0" fillId="0" borderId="0" xfId="0"/>
    <xf numFmtId="0" fontId="0" fillId="0" borderId="1" xfId="0" applyBorder="1"/>
    <xf numFmtId="0" fontId="2" fillId="0" borderId="0" xfId="1" applyFill="1" applyProtection="1"/>
    <xf numFmtId="0" fontId="2" fillId="0" borderId="0" xfId="1" applyFont="1" applyFill="1" applyProtection="1"/>
    <xf numFmtId="176" fontId="2" fillId="0" borderId="0" xfId="1" applyNumberFormat="1" applyFill="1" applyProtection="1"/>
    <xf numFmtId="0" fontId="0" fillId="0" borderId="1" xfId="0" applyFill="1" applyBorder="1" applyAlignment="1">
      <alignment vertical="center"/>
    </xf>
  </cellXfs>
  <cellStyles count="2">
    <cellStyle name="Normal 2" xfId="1"/>
    <cellStyle name="常规" xfId="0" builtinId="0"/>
  </cellStyles>
  <dxfs count="28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control" Target="../activeX/activeX1.xml"/><Relationship Id="rId1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3:K13"/>
  <sheetViews>
    <sheetView tabSelected="1" workbookViewId="0"/>
  </sheetViews>
  <sheetFormatPr defaultRowHeight="13.5"/>
  <cols>
    <col min="1" max="1" width="11.625" bestFit="1" customWidth="1"/>
  </cols>
  <sheetData>
    <row r="3" spans="1:11">
      <c r="A3" s="1" t="s">
        <v>4</v>
      </c>
      <c r="B3" s="5" t="s">
        <v>45</v>
      </c>
      <c r="C3" s="5"/>
      <c r="D3" s="5"/>
      <c r="E3" s="5"/>
      <c r="F3" s="5"/>
      <c r="G3" s="5"/>
      <c r="H3" s="5"/>
      <c r="I3" s="5"/>
      <c r="J3" s="5"/>
      <c r="K3" s="5"/>
    </row>
    <row r="4" spans="1:11">
      <c r="A4" s="1" t="s">
        <v>5</v>
      </c>
      <c r="B4" s="5" t="s">
        <v>42</v>
      </c>
      <c r="C4" s="5"/>
      <c r="D4" s="5"/>
      <c r="E4" s="5"/>
      <c r="F4" s="5"/>
      <c r="G4" s="5"/>
      <c r="H4" s="5"/>
      <c r="I4" s="5"/>
      <c r="J4" s="5"/>
      <c r="K4" s="5"/>
    </row>
    <row r="9" spans="1:11">
      <c r="B9" s="1" t="s">
        <v>6</v>
      </c>
      <c r="C9" s="1"/>
      <c r="E9" s="1" t="s">
        <v>7</v>
      </c>
      <c r="F9" s="1"/>
    </row>
    <row r="10" spans="1:11">
      <c r="B10" s="1" t="s">
        <v>0</v>
      </c>
      <c r="C10" s="1">
        <v>18</v>
      </c>
      <c r="E10" s="1" t="s">
        <v>0</v>
      </c>
      <c r="F10" s="1">
        <v>18</v>
      </c>
    </row>
    <row r="11" spans="1:11">
      <c r="B11" s="1" t="s">
        <v>1</v>
      </c>
      <c r="C11" s="1" t="s">
        <v>8</v>
      </c>
      <c r="E11" s="1" t="s">
        <v>1</v>
      </c>
      <c r="F11" s="1" t="s">
        <v>8</v>
      </c>
    </row>
    <row r="12" spans="1:11">
      <c r="B12" s="1" t="s">
        <v>2</v>
      </c>
      <c r="C12" s="1">
        <v>23</v>
      </c>
      <c r="E12" s="1" t="s">
        <v>2</v>
      </c>
      <c r="F12" s="1">
        <v>23</v>
      </c>
    </row>
    <row r="13" spans="1:11">
      <c r="B13" s="1" t="s">
        <v>3</v>
      </c>
      <c r="C13" s="1" t="s">
        <v>41</v>
      </c>
      <c r="E13" s="1" t="s">
        <v>3</v>
      </c>
      <c r="F13" s="1" t="s">
        <v>41</v>
      </c>
    </row>
  </sheetData>
  <mergeCells count="2">
    <mergeCell ref="B3:K3"/>
    <mergeCell ref="B4:K4"/>
  </mergeCells>
  <phoneticPr fontId="1" type="noConversion"/>
  <pageMargins left="0.7" right="0.7" top="0.75" bottom="0.75" header="0.3" footer="0.3"/>
  <legacyDrawing r:id="rId1"/>
  <controls>
    <control shapeId="1025" r:id="rId2" name="CommandButton1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O25"/>
  <sheetViews>
    <sheetView workbookViewId="0"/>
  </sheetViews>
  <sheetFormatPr defaultRowHeight="15"/>
  <cols>
    <col min="1" max="1" width="28.625" style="2" bestFit="1" customWidth="1"/>
    <col min="2" max="12" width="11.375" style="2" bestFit="1" customWidth="1"/>
    <col min="13" max="13" width="8.375" style="2" bestFit="1" customWidth="1"/>
    <col min="14" max="15" width="6.875" style="2" bestFit="1" customWidth="1"/>
    <col min="16" max="256" width="8.875" style="2"/>
    <col min="257" max="257" width="28.625" style="2" bestFit="1" customWidth="1"/>
    <col min="258" max="268" width="11.375" style="2" bestFit="1" customWidth="1"/>
    <col min="269" max="269" width="8.375" style="2" bestFit="1" customWidth="1"/>
    <col min="270" max="271" width="6.875" style="2" bestFit="1" customWidth="1"/>
    <col min="272" max="512" width="8.875" style="2"/>
    <col min="513" max="513" width="28.625" style="2" bestFit="1" customWidth="1"/>
    <col min="514" max="524" width="11.375" style="2" bestFit="1" customWidth="1"/>
    <col min="525" max="525" width="8.375" style="2" bestFit="1" customWidth="1"/>
    <col min="526" max="527" width="6.875" style="2" bestFit="1" customWidth="1"/>
    <col min="528" max="768" width="8.875" style="2"/>
    <col min="769" max="769" width="28.625" style="2" bestFit="1" customWidth="1"/>
    <col min="770" max="780" width="11.375" style="2" bestFit="1" customWidth="1"/>
    <col min="781" max="781" width="8.375" style="2" bestFit="1" customWidth="1"/>
    <col min="782" max="783" width="6.875" style="2" bestFit="1" customWidth="1"/>
    <col min="784" max="1024" width="8.875" style="2"/>
    <col min="1025" max="1025" width="28.625" style="2" bestFit="1" customWidth="1"/>
    <col min="1026" max="1036" width="11.375" style="2" bestFit="1" customWidth="1"/>
    <col min="1037" max="1037" width="8.375" style="2" bestFit="1" customWidth="1"/>
    <col min="1038" max="1039" width="6.875" style="2" bestFit="1" customWidth="1"/>
    <col min="1040" max="1280" width="8.875" style="2"/>
    <col min="1281" max="1281" width="28.625" style="2" bestFit="1" customWidth="1"/>
    <col min="1282" max="1292" width="11.375" style="2" bestFit="1" customWidth="1"/>
    <col min="1293" max="1293" width="8.375" style="2" bestFit="1" customWidth="1"/>
    <col min="1294" max="1295" width="6.875" style="2" bestFit="1" customWidth="1"/>
    <col min="1296" max="1536" width="8.875" style="2"/>
    <col min="1537" max="1537" width="28.625" style="2" bestFit="1" customWidth="1"/>
    <col min="1538" max="1548" width="11.375" style="2" bestFit="1" customWidth="1"/>
    <col min="1549" max="1549" width="8.375" style="2" bestFit="1" customWidth="1"/>
    <col min="1550" max="1551" width="6.875" style="2" bestFit="1" customWidth="1"/>
    <col min="1552" max="1792" width="8.875" style="2"/>
    <col min="1793" max="1793" width="28.625" style="2" bestFit="1" customWidth="1"/>
    <col min="1794" max="1804" width="11.375" style="2" bestFit="1" customWidth="1"/>
    <col min="1805" max="1805" width="8.375" style="2" bestFit="1" customWidth="1"/>
    <col min="1806" max="1807" width="6.875" style="2" bestFit="1" customWidth="1"/>
    <col min="1808" max="2048" width="8.875" style="2"/>
    <col min="2049" max="2049" width="28.625" style="2" bestFit="1" customWidth="1"/>
    <col min="2050" max="2060" width="11.375" style="2" bestFit="1" customWidth="1"/>
    <col min="2061" max="2061" width="8.375" style="2" bestFit="1" customWidth="1"/>
    <col min="2062" max="2063" width="6.875" style="2" bestFit="1" customWidth="1"/>
    <col min="2064" max="2304" width="8.875" style="2"/>
    <col min="2305" max="2305" width="28.625" style="2" bestFit="1" customWidth="1"/>
    <col min="2306" max="2316" width="11.375" style="2" bestFit="1" customWidth="1"/>
    <col min="2317" max="2317" width="8.375" style="2" bestFit="1" customWidth="1"/>
    <col min="2318" max="2319" width="6.875" style="2" bestFit="1" customWidth="1"/>
    <col min="2320" max="2560" width="8.875" style="2"/>
    <col min="2561" max="2561" width="28.625" style="2" bestFit="1" customWidth="1"/>
    <col min="2562" max="2572" width="11.375" style="2" bestFit="1" customWidth="1"/>
    <col min="2573" max="2573" width="8.375" style="2" bestFit="1" customWidth="1"/>
    <col min="2574" max="2575" width="6.875" style="2" bestFit="1" customWidth="1"/>
    <col min="2576" max="2816" width="8.875" style="2"/>
    <col min="2817" max="2817" width="28.625" style="2" bestFit="1" customWidth="1"/>
    <col min="2818" max="2828" width="11.375" style="2" bestFit="1" customWidth="1"/>
    <col min="2829" max="2829" width="8.375" style="2" bestFit="1" customWidth="1"/>
    <col min="2830" max="2831" width="6.875" style="2" bestFit="1" customWidth="1"/>
    <col min="2832" max="3072" width="8.875" style="2"/>
    <col min="3073" max="3073" width="28.625" style="2" bestFit="1" customWidth="1"/>
    <col min="3074" max="3084" width="11.375" style="2" bestFit="1" customWidth="1"/>
    <col min="3085" max="3085" width="8.375" style="2" bestFit="1" customWidth="1"/>
    <col min="3086" max="3087" width="6.875" style="2" bestFit="1" customWidth="1"/>
    <col min="3088" max="3328" width="8.875" style="2"/>
    <col min="3329" max="3329" width="28.625" style="2" bestFit="1" customWidth="1"/>
    <col min="3330" max="3340" width="11.375" style="2" bestFit="1" customWidth="1"/>
    <col min="3341" max="3341" width="8.375" style="2" bestFit="1" customWidth="1"/>
    <col min="3342" max="3343" width="6.875" style="2" bestFit="1" customWidth="1"/>
    <col min="3344" max="3584" width="8.875" style="2"/>
    <col min="3585" max="3585" width="28.625" style="2" bestFit="1" customWidth="1"/>
    <col min="3586" max="3596" width="11.375" style="2" bestFit="1" customWidth="1"/>
    <col min="3597" max="3597" width="8.375" style="2" bestFit="1" customWidth="1"/>
    <col min="3598" max="3599" width="6.875" style="2" bestFit="1" customWidth="1"/>
    <col min="3600" max="3840" width="8.875" style="2"/>
    <col min="3841" max="3841" width="28.625" style="2" bestFit="1" customWidth="1"/>
    <col min="3842" max="3852" width="11.375" style="2" bestFit="1" customWidth="1"/>
    <col min="3853" max="3853" width="8.375" style="2" bestFit="1" customWidth="1"/>
    <col min="3854" max="3855" width="6.875" style="2" bestFit="1" customWidth="1"/>
    <col min="3856" max="4096" width="8.875" style="2"/>
    <col min="4097" max="4097" width="28.625" style="2" bestFit="1" customWidth="1"/>
    <col min="4098" max="4108" width="11.375" style="2" bestFit="1" customWidth="1"/>
    <col min="4109" max="4109" width="8.375" style="2" bestFit="1" customWidth="1"/>
    <col min="4110" max="4111" width="6.875" style="2" bestFit="1" customWidth="1"/>
    <col min="4112" max="4352" width="8.875" style="2"/>
    <col min="4353" max="4353" width="28.625" style="2" bestFit="1" customWidth="1"/>
    <col min="4354" max="4364" width="11.375" style="2" bestFit="1" customWidth="1"/>
    <col min="4365" max="4365" width="8.375" style="2" bestFit="1" customWidth="1"/>
    <col min="4366" max="4367" width="6.875" style="2" bestFit="1" customWidth="1"/>
    <col min="4368" max="4608" width="8.875" style="2"/>
    <col min="4609" max="4609" width="28.625" style="2" bestFit="1" customWidth="1"/>
    <col min="4610" max="4620" width="11.375" style="2" bestFit="1" customWidth="1"/>
    <col min="4621" max="4621" width="8.375" style="2" bestFit="1" customWidth="1"/>
    <col min="4622" max="4623" width="6.875" style="2" bestFit="1" customWidth="1"/>
    <col min="4624" max="4864" width="8.875" style="2"/>
    <col min="4865" max="4865" width="28.625" style="2" bestFit="1" customWidth="1"/>
    <col min="4866" max="4876" width="11.375" style="2" bestFit="1" customWidth="1"/>
    <col min="4877" max="4877" width="8.375" style="2" bestFit="1" customWidth="1"/>
    <col min="4878" max="4879" width="6.875" style="2" bestFit="1" customWidth="1"/>
    <col min="4880" max="5120" width="8.875" style="2"/>
    <col min="5121" max="5121" width="28.625" style="2" bestFit="1" customWidth="1"/>
    <col min="5122" max="5132" width="11.375" style="2" bestFit="1" customWidth="1"/>
    <col min="5133" max="5133" width="8.375" style="2" bestFit="1" customWidth="1"/>
    <col min="5134" max="5135" width="6.875" style="2" bestFit="1" customWidth="1"/>
    <col min="5136" max="5376" width="8.875" style="2"/>
    <col min="5377" max="5377" width="28.625" style="2" bestFit="1" customWidth="1"/>
    <col min="5378" max="5388" width="11.375" style="2" bestFit="1" customWidth="1"/>
    <col min="5389" max="5389" width="8.375" style="2" bestFit="1" customWidth="1"/>
    <col min="5390" max="5391" width="6.875" style="2" bestFit="1" customWidth="1"/>
    <col min="5392" max="5632" width="8.875" style="2"/>
    <col min="5633" max="5633" width="28.625" style="2" bestFit="1" customWidth="1"/>
    <col min="5634" max="5644" width="11.375" style="2" bestFit="1" customWidth="1"/>
    <col min="5645" max="5645" width="8.375" style="2" bestFit="1" customWidth="1"/>
    <col min="5646" max="5647" width="6.875" style="2" bestFit="1" customWidth="1"/>
    <col min="5648" max="5888" width="8.875" style="2"/>
    <col min="5889" max="5889" width="28.625" style="2" bestFit="1" customWidth="1"/>
    <col min="5890" max="5900" width="11.375" style="2" bestFit="1" customWidth="1"/>
    <col min="5901" max="5901" width="8.375" style="2" bestFit="1" customWidth="1"/>
    <col min="5902" max="5903" width="6.875" style="2" bestFit="1" customWidth="1"/>
    <col min="5904" max="6144" width="8.875" style="2"/>
    <col min="6145" max="6145" width="28.625" style="2" bestFit="1" customWidth="1"/>
    <col min="6146" max="6156" width="11.375" style="2" bestFit="1" customWidth="1"/>
    <col min="6157" max="6157" width="8.375" style="2" bestFit="1" customWidth="1"/>
    <col min="6158" max="6159" width="6.875" style="2" bestFit="1" customWidth="1"/>
    <col min="6160" max="6400" width="8.875" style="2"/>
    <col min="6401" max="6401" width="28.625" style="2" bestFit="1" customWidth="1"/>
    <col min="6402" max="6412" width="11.375" style="2" bestFit="1" customWidth="1"/>
    <col min="6413" max="6413" width="8.375" style="2" bestFit="1" customWidth="1"/>
    <col min="6414" max="6415" width="6.875" style="2" bestFit="1" customWidth="1"/>
    <col min="6416" max="6656" width="8.875" style="2"/>
    <col min="6657" max="6657" width="28.625" style="2" bestFit="1" customWidth="1"/>
    <col min="6658" max="6668" width="11.375" style="2" bestFit="1" customWidth="1"/>
    <col min="6669" max="6669" width="8.375" style="2" bestFit="1" customWidth="1"/>
    <col min="6670" max="6671" width="6.875" style="2" bestFit="1" customWidth="1"/>
    <col min="6672" max="6912" width="8.875" style="2"/>
    <col min="6913" max="6913" width="28.625" style="2" bestFit="1" customWidth="1"/>
    <col min="6914" max="6924" width="11.375" style="2" bestFit="1" customWidth="1"/>
    <col min="6925" max="6925" width="8.375" style="2" bestFit="1" customWidth="1"/>
    <col min="6926" max="6927" width="6.875" style="2" bestFit="1" customWidth="1"/>
    <col min="6928" max="7168" width="8.875" style="2"/>
    <col min="7169" max="7169" width="28.625" style="2" bestFit="1" customWidth="1"/>
    <col min="7170" max="7180" width="11.375" style="2" bestFit="1" customWidth="1"/>
    <col min="7181" max="7181" width="8.375" style="2" bestFit="1" customWidth="1"/>
    <col min="7182" max="7183" width="6.875" style="2" bestFit="1" customWidth="1"/>
    <col min="7184" max="7424" width="8.875" style="2"/>
    <col min="7425" max="7425" width="28.625" style="2" bestFit="1" customWidth="1"/>
    <col min="7426" max="7436" width="11.375" style="2" bestFit="1" customWidth="1"/>
    <col min="7437" max="7437" width="8.375" style="2" bestFit="1" customWidth="1"/>
    <col min="7438" max="7439" width="6.875" style="2" bestFit="1" customWidth="1"/>
    <col min="7440" max="7680" width="8.875" style="2"/>
    <col min="7681" max="7681" width="28.625" style="2" bestFit="1" customWidth="1"/>
    <col min="7682" max="7692" width="11.375" style="2" bestFit="1" customWidth="1"/>
    <col min="7693" max="7693" width="8.375" style="2" bestFit="1" customWidth="1"/>
    <col min="7694" max="7695" width="6.875" style="2" bestFit="1" customWidth="1"/>
    <col min="7696" max="7936" width="8.875" style="2"/>
    <col min="7937" max="7937" width="28.625" style="2" bestFit="1" customWidth="1"/>
    <col min="7938" max="7948" width="11.375" style="2" bestFit="1" customWidth="1"/>
    <col min="7949" max="7949" width="8.375" style="2" bestFit="1" customWidth="1"/>
    <col min="7950" max="7951" width="6.875" style="2" bestFit="1" customWidth="1"/>
    <col min="7952" max="8192" width="8.875" style="2"/>
    <col min="8193" max="8193" width="28.625" style="2" bestFit="1" customWidth="1"/>
    <col min="8194" max="8204" width="11.375" style="2" bestFit="1" customWidth="1"/>
    <col min="8205" max="8205" width="8.375" style="2" bestFit="1" customWidth="1"/>
    <col min="8206" max="8207" width="6.875" style="2" bestFit="1" customWidth="1"/>
    <col min="8208" max="8448" width="8.875" style="2"/>
    <col min="8449" max="8449" width="28.625" style="2" bestFit="1" customWidth="1"/>
    <col min="8450" max="8460" width="11.375" style="2" bestFit="1" customWidth="1"/>
    <col min="8461" max="8461" width="8.375" style="2" bestFit="1" customWidth="1"/>
    <col min="8462" max="8463" width="6.875" style="2" bestFit="1" customWidth="1"/>
    <col min="8464" max="8704" width="8.875" style="2"/>
    <col min="8705" max="8705" width="28.625" style="2" bestFit="1" customWidth="1"/>
    <col min="8706" max="8716" width="11.375" style="2" bestFit="1" customWidth="1"/>
    <col min="8717" max="8717" width="8.375" style="2" bestFit="1" customWidth="1"/>
    <col min="8718" max="8719" width="6.875" style="2" bestFit="1" customWidth="1"/>
    <col min="8720" max="8960" width="8.875" style="2"/>
    <col min="8961" max="8961" width="28.625" style="2" bestFit="1" customWidth="1"/>
    <col min="8962" max="8972" width="11.375" style="2" bestFit="1" customWidth="1"/>
    <col min="8973" max="8973" width="8.375" style="2" bestFit="1" customWidth="1"/>
    <col min="8974" max="8975" width="6.875" style="2" bestFit="1" customWidth="1"/>
    <col min="8976" max="9216" width="8.875" style="2"/>
    <col min="9217" max="9217" width="28.625" style="2" bestFit="1" customWidth="1"/>
    <col min="9218" max="9228" width="11.375" style="2" bestFit="1" customWidth="1"/>
    <col min="9229" max="9229" width="8.375" style="2" bestFit="1" customWidth="1"/>
    <col min="9230" max="9231" width="6.875" style="2" bestFit="1" customWidth="1"/>
    <col min="9232" max="9472" width="8.875" style="2"/>
    <col min="9473" max="9473" width="28.625" style="2" bestFit="1" customWidth="1"/>
    <col min="9474" max="9484" width="11.375" style="2" bestFit="1" customWidth="1"/>
    <col min="9485" max="9485" width="8.375" style="2" bestFit="1" customWidth="1"/>
    <col min="9486" max="9487" width="6.875" style="2" bestFit="1" customWidth="1"/>
    <col min="9488" max="9728" width="8.875" style="2"/>
    <col min="9729" max="9729" width="28.625" style="2" bestFit="1" customWidth="1"/>
    <col min="9730" max="9740" width="11.375" style="2" bestFit="1" customWidth="1"/>
    <col min="9741" max="9741" width="8.375" style="2" bestFit="1" customWidth="1"/>
    <col min="9742" max="9743" width="6.875" style="2" bestFit="1" customWidth="1"/>
    <col min="9744" max="9984" width="8.875" style="2"/>
    <col min="9985" max="9985" width="28.625" style="2" bestFit="1" customWidth="1"/>
    <col min="9986" max="9996" width="11.375" style="2" bestFit="1" customWidth="1"/>
    <col min="9997" max="9997" width="8.375" style="2" bestFit="1" customWidth="1"/>
    <col min="9998" max="9999" width="6.875" style="2" bestFit="1" customWidth="1"/>
    <col min="10000" max="10240" width="8.875" style="2"/>
    <col min="10241" max="10241" width="28.625" style="2" bestFit="1" customWidth="1"/>
    <col min="10242" max="10252" width="11.375" style="2" bestFit="1" customWidth="1"/>
    <col min="10253" max="10253" width="8.375" style="2" bestFit="1" customWidth="1"/>
    <col min="10254" max="10255" width="6.875" style="2" bestFit="1" customWidth="1"/>
    <col min="10256" max="10496" width="8.875" style="2"/>
    <col min="10497" max="10497" width="28.625" style="2" bestFit="1" customWidth="1"/>
    <col min="10498" max="10508" width="11.375" style="2" bestFit="1" customWidth="1"/>
    <col min="10509" max="10509" width="8.375" style="2" bestFit="1" customWidth="1"/>
    <col min="10510" max="10511" width="6.875" style="2" bestFit="1" customWidth="1"/>
    <col min="10512" max="10752" width="8.875" style="2"/>
    <col min="10753" max="10753" width="28.625" style="2" bestFit="1" customWidth="1"/>
    <col min="10754" max="10764" width="11.375" style="2" bestFit="1" customWidth="1"/>
    <col min="10765" max="10765" width="8.375" style="2" bestFit="1" customWidth="1"/>
    <col min="10766" max="10767" width="6.875" style="2" bestFit="1" customWidth="1"/>
    <col min="10768" max="11008" width="8.875" style="2"/>
    <col min="11009" max="11009" width="28.625" style="2" bestFit="1" customWidth="1"/>
    <col min="11010" max="11020" width="11.375" style="2" bestFit="1" customWidth="1"/>
    <col min="11021" max="11021" width="8.375" style="2" bestFit="1" customWidth="1"/>
    <col min="11022" max="11023" width="6.875" style="2" bestFit="1" customWidth="1"/>
    <col min="11024" max="11264" width="8.875" style="2"/>
    <col min="11265" max="11265" width="28.625" style="2" bestFit="1" customWidth="1"/>
    <col min="11266" max="11276" width="11.375" style="2" bestFit="1" customWidth="1"/>
    <col min="11277" max="11277" width="8.375" style="2" bestFit="1" customWidth="1"/>
    <col min="11278" max="11279" width="6.875" style="2" bestFit="1" customWidth="1"/>
    <col min="11280" max="11520" width="8.875" style="2"/>
    <col min="11521" max="11521" width="28.625" style="2" bestFit="1" customWidth="1"/>
    <col min="11522" max="11532" width="11.375" style="2" bestFit="1" customWidth="1"/>
    <col min="11533" max="11533" width="8.375" style="2" bestFit="1" customWidth="1"/>
    <col min="11534" max="11535" width="6.875" style="2" bestFit="1" customWidth="1"/>
    <col min="11536" max="11776" width="8.875" style="2"/>
    <col min="11777" max="11777" width="28.625" style="2" bestFit="1" customWidth="1"/>
    <col min="11778" max="11788" width="11.375" style="2" bestFit="1" customWidth="1"/>
    <col min="11789" max="11789" width="8.375" style="2" bestFit="1" customWidth="1"/>
    <col min="11790" max="11791" width="6.875" style="2" bestFit="1" customWidth="1"/>
    <col min="11792" max="12032" width="8.875" style="2"/>
    <col min="12033" max="12033" width="28.625" style="2" bestFit="1" customWidth="1"/>
    <col min="12034" max="12044" width="11.375" style="2" bestFit="1" customWidth="1"/>
    <col min="12045" max="12045" width="8.375" style="2" bestFit="1" customWidth="1"/>
    <col min="12046" max="12047" width="6.875" style="2" bestFit="1" customWidth="1"/>
    <col min="12048" max="12288" width="8.875" style="2"/>
    <col min="12289" max="12289" width="28.625" style="2" bestFit="1" customWidth="1"/>
    <col min="12290" max="12300" width="11.375" style="2" bestFit="1" customWidth="1"/>
    <col min="12301" max="12301" width="8.375" style="2" bestFit="1" customWidth="1"/>
    <col min="12302" max="12303" width="6.875" style="2" bestFit="1" customWidth="1"/>
    <col min="12304" max="12544" width="8.875" style="2"/>
    <col min="12545" max="12545" width="28.625" style="2" bestFit="1" customWidth="1"/>
    <col min="12546" max="12556" width="11.375" style="2" bestFit="1" customWidth="1"/>
    <col min="12557" max="12557" width="8.375" style="2" bestFit="1" customWidth="1"/>
    <col min="12558" max="12559" width="6.875" style="2" bestFit="1" customWidth="1"/>
    <col min="12560" max="12800" width="8.875" style="2"/>
    <col min="12801" max="12801" width="28.625" style="2" bestFit="1" customWidth="1"/>
    <col min="12802" max="12812" width="11.375" style="2" bestFit="1" customWidth="1"/>
    <col min="12813" max="12813" width="8.375" style="2" bestFit="1" customWidth="1"/>
    <col min="12814" max="12815" width="6.875" style="2" bestFit="1" customWidth="1"/>
    <col min="12816" max="13056" width="8.875" style="2"/>
    <col min="13057" max="13057" width="28.625" style="2" bestFit="1" customWidth="1"/>
    <col min="13058" max="13068" width="11.375" style="2" bestFit="1" customWidth="1"/>
    <col min="13069" max="13069" width="8.375" style="2" bestFit="1" customWidth="1"/>
    <col min="13070" max="13071" width="6.875" style="2" bestFit="1" customWidth="1"/>
    <col min="13072" max="13312" width="8.875" style="2"/>
    <col min="13313" max="13313" width="28.625" style="2" bestFit="1" customWidth="1"/>
    <col min="13314" max="13324" width="11.375" style="2" bestFit="1" customWidth="1"/>
    <col min="13325" max="13325" width="8.375" style="2" bestFit="1" customWidth="1"/>
    <col min="13326" max="13327" width="6.875" style="2" bestFit="1" customWidth="1"/>
    <col min="13328" max="13568" width="8.875" style="2"/>
    <col min="13569" max="13569" width="28.625" style="2" bestFit="1" customWidth="1"/>
    <col min="13570" max="13580" width="11.375" style="2" bestFit="1" customWidth="1"/>
    <col min="13581" max="13581" width="8.375" style="2" bestFit="1" customWidth="1"/>
    <col min="13582" max="13583" width="6.875" style="2" bestFit="1" customWidth="1"/>
    <col min="13584" max="13824" width="8.875" style="2"/>
    <col min="13825" max="13825" width="28.625" style="2" bestFit="1" customWidth="1"/>
    <col min="13826" max="13836" width="11.375" style="2" bestFit="1" customWidth="1"/>
    <col min="13837" max="13837" width="8.375" style="2" bestFit="1" customWidth="1"/>
    <col min="13838" max="13839" width="6.875" style="2" bestFit="1" customWidth="1"/>
    <col min="13840" max="14080" width="8.875" style="2"/>
    <col min="14081" max="14081" width="28.625" style="2" bestFit="1" customWidth="1"/>
    <col min="14082" max="14092" width="11.375" style="2" bestFit="1" customWidth="1"/>
    <col min="14093" max="14093" width="8.375" style="2" bestFit="1" customWidth="1"/>
    <col min="14094" max="14095" width="6.875" style="2" bestFit="1" customWidth="1"/>
    <col min="14096" max="14336" width="8.875" style="2"/>
    <col min="14337" max="14337" width="28.625" style="2" bestFit="1" customWidth="1"/>
    <col min="14338" max="14348" width="11.375" style="2" bestFit="1" customWidth="1"/>
    <col min="14349" max="14349" width="8.375" style="2" bestFit="1" customWidth="1"/>
    <col min="14350" max="14351" width="6.875" style="2" bestFit="1" customWidth="1"/>
    <col min="14352" max="14592" width="8.875" style="2"/>
    <col min="14593" max="14593" width="28.625" style="2" bestFit="1" customWidth="1"/>
    <col min="14594" max="14604" width="11.375" style="2" bestFit="1" customWidth="1"/>
    <col min="14605" max="14605" width="8.375" style="2" bestFit="1" customWidth="1"/>
    <col min="14606" max="14607" width="6.875" style="2" bestFit="1" customWidth="1"/>
    <col min="14608" max="14848" width="8.875" style="2"/>
    <col min="14849" max="14849" width="28.625" style="2" bestFit="1" customWidth="1"/>
    <col min="14850" max="14860" width="11.375" style="2" bestFit="1" customWidth="1"/>
    <col min="14861" max="14861" width="8.375" style="2" bestFit="1" customWidth="1"/>
    <col min="14862" max="14863" width="6.875" style="2" bestFit="1" customWidth="1"/>
    <col min="14864" max="15104" width="8.875" style="2"/>
    <col min="15105" max="15105" width="28.625" style="2" bestFit="1" customWidth="1"/>
    <col min="15106" max="15116" width="11.375" style="2" bestFit="1" customWidth="1"/>
    <col min="15117" max="15117" width="8.375" style="2" bestFit="1" customWidth="1"/>
    <col min="15118" max="15119" width="6.875" style="2" bestFit="1" customWidth="1"/>
    <col min="15120" max="15360" width="8.875" style="2"/>
    <col min="15361" max="15361" width="28.625" style="2" bestFit="1" customWidth="1"/>
    <col min="15362" max="15372" width="11.375" style="2" bestFit="1" customWidth="1"/>
    <col min="15373" max="15373" width="8.375" style="2" bestFit="1" customWidth="1"/>
    <col min="15374" max="15375" width="6.875" style="2" bestFit="1" customWidth="1"/>
    <col min="15376" max="15616" width="8.875" style="2"/>
    <col min="15617" max="15617" width="28.625" style="2" bestFit="1" customWidth="1"/>
    <col min="15618" max="15628" width="11.375" style="2" bestFit="1" customWidth="1"/>
    <col min="15629" max="15629" width="8.375" style="2" bestFit="1" customWidth="1"/>
    <col min="15630" max="15631" width="6.875" style="2" bestFit="1" customWidth="1"/>
    <col min="15632" max="15872" width="8.875" style="2"/>
    <col min="15873" max="15873" width="28.625" style="2" bestFit="1" customWidth="1"/>
    <col min="15874" max="15884" width="11.375" style="2" bestFit="1" customWidth="1"/>
    <col min="15885" max="15885" width="8.375" style="2" bestFit="1" customWidth="1"/>
    <col min="15886" max="15887" width="6.875" style="2" bestFit="1" customWidth="1"/>
    <col min="15888" max="16128" width="8.875" style="2"/>
    <col min="16129" max="16129" width="28.625" style="2" bestFit="1" customWidth="1"/>
    <col min="16130" max="16140" width="11.375" style="2" bestFit="1" customWidth="1"/>
    <col min="16141" max="16141" width="8.375" style="2" bestFit="1" customWidth="1"/>
    <col min="16142" max="16143" width="6.875" style="2" bestFit="1" customWidth="1"/>
    <col min="16144" max="16384" width="8.875" style="2"/>
  </cols>
  <sheetData>
    <row r="1" spans="1:15">
      <c r="A1" s="2" t="s">
        <v>9</v>
      </c>
      <c r="B1" s="2" t="s">
        <v>10</v>
      </c>
      <c r="C1" s="2" t="s">
        <v>11</v>
      </c>
      <c r="D1" s="2" t="s">
        <v>12</v>
      </c>
      <c r="E1" s="2" t="s">
        <v>13</v>
      </c>
      <c r="F1" s="2" t="s">
        <v>14</v>
      </c>
      <c r="G1" s="2" t="s">
        <v>15</v>
      </c>
      <c r="H1" s="2" t="s">
        <v>16</v>
      </c>
      <c r="I1" s="2" t="s">
        <v>17</v>
      </c>
      <c r="J1" s="2" t="s">
        <v>18</v>
      </c>
      <c r="K1" s="2" t="s">
        <v>19</v>
      </c>
      <c r="L1" s="2" t="s">
        <v>20</v>
      </c>
    </row>
    <row r="2" spans="1:15">
      <c r="A2" s="2" t="s">
        <v>21</v>
      </c>
      <c r="B2" s="2">
        <v>0.54</v>
      </c>
      <c r="C2" s="2">
        <v>0.69</v>
      </c>
      <c r="D2" s="2">
        <v>0.32</v>
      </c>
      <c r="E2" s="2">
        <v>0.55000000000000004</v>
      </c>
      <c r="F2" s="2">
        <v>0.72</v>
      </c>
      <c r="G2" s="2">
        <v>0.48</v>
      </c>
      <c r="H2" s="2">
        <v>0.49</v>
      </c>
      <c r="I2" s="2">
        <v>0.78</v>
      </c>
      <c r="J2" s="2">
        <v>0.37</v>
      </c>
      <c r="K2" s="2">
        <v>0.46</v>
      </c>
      <c r="L2" s="2">
        <v>1.31</v>
      </c>
    </row>
    <row r="3" spans="1:15">
      <c r="A3" s="2" t="s">
        <v>22</v>
      </c>
      <c r="B3" s="2">
        <v>10995.54</v>
      </c>
      <c r="C3" s="2">
        <v>6948.9</v>
      </c>
      <c r="D3" s="2">
        <v>3181.82</v>
      </c>
      <c r="E3" s="2">
        <v>5470.36</v>
      </c>
      <c r="F3" s="2">
        <v>5412.37</v>
      </c>
      <c r="G3" s="2">
        <v>3578.21</v>
      </c>
      <c r="H3" s="2">
        <v>3680.33</v>
      </c>
      <c r="I3" s="2">
        <v>5861.21</v>
      </c>
      <c r="J3" s="2">
        <v>2756.78</v>
      </c>
      <c r="K3" s="2">
        <v>3479.94</v>
      </c>
    </row>
    <row r="4" spans="1:15">
      <c r="A4" s="2" t="s">
        <v>23</v>
      </c>
      <c r="B4" s="2">
        <v>103.16</v>
      </c>
      <c r="C4" s="2">
        <v>94.2</v>
      </c>
      <c r="D4" s="2">
        <v>-13.55</v>
      </c>
      <c r="E4" s="2">
        <v>-6.67</v>
      </c>
      <c r="F4" s="2">
        <v>96.33</v>
      </c>
      <c r="G4" s="2">
        <v>2.82</v>
      </c>
      <c r="H4" s="2">
        <v>3680.33</v>
      </c>
      <c r="I4" s="2">
        <v>5861.21</v>
      </c>
      <c r="J4" s="2">
        <v>2756.78</v>
      </c>
      <c r="K4" s="2">
        <v>3479.94</v>
      </c>
    </row>
    <row r="5" spans="1:15">
      <c r="A5" s="2" t="s">
        <v>24</v>
      </c>
      <c r="B5" s="2">
        <v>9407.26</v>
      </c>
      <c r="C5" s="2">
        <v>6436.31</v>
      </c>
      <c r="D5" s="2">
        <v>2609.77</v>
      </c>
      <c r="E5" s="2">
        <v>4024.54</v>
      </c>
      <c r="F5" s="2">
        <v>4861.42</v>
      </c>
      <c r="G5" s="2">
        <v>3578.21</v>
      </c>
      <c r="H5" s="2">
        <v>3308.17</v>
      </c>
      <c r="I5" s="2">
        <v>5363.93</v>
      </c>
      <c r="J5" s="2">
        <v>2389.02</v>
      </c>
      <c r="K5" s="2">
        <v>3115.43</v>
      </c>
    </row>
    <row r="6" spans="1:15">
      <c r="A6" s="2" t="s">
        <v>25</v>
      </c>
      <c r="B6" s="2">
        <v>48632.65</v>
      </c>
      <c r="C6" s="2">
        <v>45237.03</v>
      </c>
      <c r="D6" s="2">
        <v>44042.52</v>
      </c>
      <c r="E6" s="2">
        <v>39341.870000000003</v>
      </c>
      <c r="F6" s="2">
        <v>34654.949999999997</v>
      </c>
      <c r="G6" s="2">
        <v>30855.48</v>
      </c>
      <c r="H6" s="2">
        <v>36170.33</v>
      </c>
      <c r="I6" s="2">
        <v>33853.26</v>
      </c>
      <c r="J6" s="2">
        <v>24575.23</v>
      </c>
      <c r="K6" s="2">
        <v>24279.200000000001</v>
      </c>
    </row>
    <row r="7" spans="1:15">
      <c r="A7" s="2" t="s">
        <v>26</v>
      </c>
      <c r="B7" s="2">
        <v>40.33</v>
      </c>
      <c r="C7" s="2">
        <v>46.61</v>
      </c>
      <c r="D7" s="2">
        <v>21.76</v>
      </c>
      <c r="E7" s="2">
        <v>16.21</v>
      </c>
      <c r="F7" s="2">
        <v>41.02</v>
      </c>
      <c r="G7" s="2">
        <v>27.09</v>
      </c>
      <c r="H7" s="2">
        <v>36170.33</v>
      </c>
      <c r="I7" s="2">
        <v>33853.26</v>
      </c>
      <c r="J7" s="2">
        <v>24575.23</v>
      </c>
      <c r="K7" s="2">
        <v>24279.200000000001</v>
      </c>
    </row>
    <row r="8" spans="1:15">
      <c r="A8" s="2" t="s">
        <v>27</v>
      </c>
      <c r="B8" s="2">
        <v>7.12</v>
      </c>
      <c r="C8" s="2">
        <v>13.46</v>
      </c>
      <c r="D8" s="2">
        <v>12.79</v>
      </c>
      <c r="E8" s="2">
        <v>12.37</v>
      </c>
      <c r="F8" s="2">
        <v>8.86</v>
      </c>
      <c r="G8" s="2">
        <v>8.09</v>
      </c>
      <c r="H8" s="2">
        <v>7.62</v>
      </c>
      <c r="L8" s="2">
        <v>5.6</v>
      </c>
      <c r="M8" s="2">
        <v>4.42</v>
      </c>
      <c r="N8" s="2">
        <v>3.63</v>
      </c>
      <c r="O8" s="2">
        <v>2.77</v>
      </c>
    </row>
    <row r="9" spans="1:15">
      <c r="A9" s="2" t="s">
        <v>28</v>
      </c>
      <c r="B9" s="2">
        <v>7.72</v>
      </c>
      <c r="C9" s="2">
        <v>5.29</v>
      </c>
      <c r="D9" s="2">
        <v>0.61</v>
      </c>
      <c r="E9" s="2">
        <v>6.02</v>
      </c>
      <c r="F9" s="2">
        <v>8.4700000000000006</v>
      </c>
      <c r="G9" s="2">
        <v>6.08</v>
      </c>
      <c r="H9" s="2">
        <v>6.54</v>
      </c>
      <c r="I9" s="2">
        <v>11.48</v>
      </c>
      <c r="J9" s="2">
        <v>5.95</v>
      </c>
      <c r="K9" s="2">
        <v>7.95</v>
      </c>
    </row>
    <row r="10" spans="1:15">
      <c r="A10" s="2" t="s">
        <v>29</v>
      </c>
      <c r="B10" s="2">
        <v>7.27</v>
      </c>
      <c r="C10" s="2">
        <v>5.16</v>
      </c>
      <c r="D10" s="2">
        <v>2.11</v>
      </c>
      <c r="E10" s="2">
        <v>-1.85</v>
      </c>
      <c r="F10" s="2">
        <v>7.64</v>
      </c>
      <c r="G10" s="2">
        <v>5.9</v>
      </c>
    </row>
    <row r="11" spans="1:15">
      <c r="A11" s="2" t="s">
        <v>30</v>
      </c>
      <c r="B11" s="2">
        <v>60.13</v>
      </c>
      <c r="C11" s="2">
        <v>19.61</v>
      </c>
      <c r="D11" s="2">
        <v>58.09</v>
      </c>
      <c r="E11" s="2">
        <v>8.3000000000000007</v>
      </c>
      <c r="F11" s="2">
        <v>-3.74</v>
      </c>
      <c r="G11" s="2">
        <v>32.119999999999997</v>
      </c>
      <c r="H11" s="2" t="b">
        <v>0</v>
      </c>
      <c r="I11" s="2" t="b">
        <v>0</v>
      </c>
      <c r="J11" s="2" t="b">
        <v>0</v>
      </c>
      <c r="K11" s="2" t="b">
        <v>0</v>
      </c>
      <c r="L11" s="2" t="b">
        <v>0</v>
      </c>
      <c r="M11" s="2" t="b">
        <v>0</v>
      </c>
      <c r="N11" s="2" t="b">
        <v>0</v>
      </c>
      <c r="O11" s="2" t="b">
        <v>0</v>
      </c>
    </row>
    <row r="12" spans="1:15">
      <c r="A12" s="2" t="s">
        <v>31</v>
      </c>
      <c r="B12" s="2">
        <v>3.42</v>
      </c>
      <c r="C12" s="2">
        <v>6.66</v>
      </c>
      <c r="D12" s="2">
        <v>6.66</v>
      </c>
      <c r="E12" s="2">
        <v>6.62</v>
      </c>
      <c r="F12" s="2">
        <v>2.27</v>
      </c>
      <c r="H12" s="2">
        <v>2.27</v>
      </c>
      <c r="L12" s="2">
        <v>2.27</v>
      </c>
    </row>
    <row r="13" spans="1:15">
      <c r="A13" s="2" t="s">
        <v>32</v>
      </c>
      <c r="B13" s="2">
        <v>2.86</v>
      </c>
      <c r="C13" s="2">
        <v>5.22</v>
      </c>
      <c r="D13" s="2">
        <v>4.53</v>
      </c>
      <c r="E13" s="2">
        <v>4.38</v>
      </c>
      <c r="F13" s="2">
        <v>5.1100000000000003</v>
      </c>
      <c r="H13" s="2">
        <v>3.92</v>
      </c>
      <c r="L13" s="2">
        <v>2.2000000000000002</v>
      </c>
    </row>
    <row r="14" spans="1:15">
      <c r="A14" s="2" t="s">
        <v>33</v>
      </c>
    </row>
    <row r="15" spans="1:15">
      <c r="A15" s="2" t="s">
        <v>34</v>
      </c>
      <c r="B15" s="2">
        <v>41.21</v>
      </c>
      <c r="C15" s="2">
        <v>29.76</v>
      </c>
      <c r="D15" s="2">
        <v>25.23</v>
      </c>
      <c r="E15" s="2">
        <v>27.26</v>
      </c>
      <c r="F15" s="2">
        <v>26.1</v>
      </c>
      <c r="G15" s="2">
        <v>28.85</v>
      </c>
      <c r="H15" s="2">
        <v>29.58</v>
      </c>
      <c r="I15" s="2">
        <v>28.18</v>
      </c>
      <c r="J15" s="2">
        <v>-42.48</v>
      </c>
      <c r="K15" s="2" t="b">
        <v>0</v>
      </c>
      <c r="L15" s="2" t="b">
        <v>0</v>
      </c>
      <c r="M15" s="2" t="b">
        <v>0</v>
      </c>
      <c r="N15" s="2" t="b">
        <v>0</v>
      </c>
      <c r="O15" s="2" t="b">
        <v>0</v>
      </c>
    </row>
    <row r="16" spans="1:15">
      <c r="A16" s="2" t="s">
        <v>35</v>
      </c>
      <c r="B16" s="2">
        <v>0.68</v>
      </c>
      <c r="C16" s="2">
        <v>0.79</v>
      </c>
      <c r="D16" s="2">
        <v>0.82</v>
      </c>
      <c r="E16" s="2">
        <v>0.78</v>
      </c>
    </row>
    <row r="18" spans="1:13">
      <c r="A18" s="3" t="s">
        <v>36</v>
      </c>
      <c r="B18" s="2" t="str">
        <f>IF(B5&gt;0,"OK","NG")</f>
        <v>OK</v>
      </c>
      <c r="C18" s="2" t="str">
        <f t="shared" ref="C18:M18" si="0">IF(C5&gt;0,"OK","NG")</f>
        <v>OK</v>
      </c>
      <c r="D18" s="2" t="str">
        <f t="shared" si="0"/>
        <v>OK</v>
      </c>
      <c r="E18" s="2" t="str">
        <f t="shared" si="0"/>
        <v>OK</v>
      </c>
      <c r="F18" s="2" t="str">
        <f t="shared" si="0"/>
        <v>OK</v>
      </c>
      <c r="G18" s="2" t="str">
        <f t="shared" si="0"/>
        <v>OK</v>
      </c>
      <c r="H18" s="2" t="str">
        <f t="shared" si="0"/>
        <v>OK</v>
      </c>
      <c r="I18" s="2" t="str">
        <f t="shared" si="0"/>
        <v>OK</v>
      </c>
      <c r="J18" s="2" t="str">
        <f t="shared" si="0"/>
        <v>OK</v>
      </c>
      <c r="K18" s="2" t="str">
        <f t="shared" si="0"/>
        <v>OK</v>
      </c>
      <c r="L18" s="2" t="str">
        <f t="shared" si="0"/>
        <v>NG</v>
      </c>
      <c r="M18" s="2" t="str">
        <f t="shared" si="0"/>
        <v>NG</v>
      </c>
    </row>
    <row r="19" spans="1:13">
      <c r="A19" s="3" t="s">
        <v>37</v>
      </c>
      <c r="B19" s="4">
        <f t="shared" ref="B19:M19" si="1">IF(F2&gt;0,(B2/F2-1)*100,(1-B2/F2)*100)</f>
        <v>-24.999999999999989</v>
      </c>
      <c r="C19" s="4">
        <f t="shared" si="1"/>
        <v>43.75</v>
      </c>
      <c r="D19" s="4">
        <f t="shared" si="1"/>
        <v>-34.6938775510204</v>
      </c>
      <c r="E19" s="4">
        <f t="shared" si="1"/>
        <v>-29.487179487179482</v>
      </c>
      <c r="F19" s="4">
        <f t="shared" si="1"/>
        <v>94.594594594594582</v>
      </c>
      <c r="G19" s="4">
        <f t="shared" si="1"/>
        <v>4.3478260869565188</v>
      </c>
      <c r="H19" s="4">
        <f t="shared" si="1"/>
        <v>-62.595419847328252</v>
      </c>
      <c r="I19" s="4" t="e">
        <f t="shared" si="1"/>
        <v>#DIV/0!</v>
      </c>
      <c r="J19" s="4" t="e">
        <f t="shared" si="1"/>
        <v>#DIV/0!</v>
      </c>
      <c r="K19" s="4" t="e">
        <f t="shared" si="1"/>
        <v>#DIV/0!</v>
      </c>
      <c r="L19" s="4" t="e">
        <f t="shared" si="1"/>
        <v>#DIV/0!</v>
      </c>
      <c r="M19" s="4" t="e">
        <f t="shared" si="1"/>
        <v>#DIV/0!</v>
      </c>
    </row>
    <row r="20" spans="1:13">
      <c r="A20" s="2" t="s">
        <v>38</v>
      </c>
      <c r="B20" s="4">
        <f>B4</f>
        <v>103.16</v>
      </c>
      <c r="C20" s="4">
        <f t="shared" ref="C20:M20" si="2">C4</f>
        <v>94.2</v>
      </c>
      <c r="D20" s="4">
        <f t="shared" si="2"/>
        <v>-13.55</v>
      </c>
      <c r="E20" s="4">
        <f t="shared" si="2"/>
        <v>-6.67</v>
      </c>
      <c r="F20" s="4">
        <f t="shared" si="2"/>
        <v>96.33</v>
      </c>
      <c r="G20" s="4">
        <f t="shared" si="2"/>
        <v>2.82</v>
      </c>
      <c r="H20" s="4">
        <f t="shared" si="2"/>
        <v>3680.33</v>
      </c>
      <c r="I20" s="4">
        <f t="shared" si="2"/>
        <v>5861.21</v>
      </c>
      <c r="J20" s="4">
        <f t="shared" si="2"/>
        <v>2756.78</v>
      </c>
      <c r="K20" s="4">
        <f t="shared" si="2"/>
        <v>3479.94</v>
      </c>
      <c r="L20" s="4">
        <f t="shared" si="2"/>
        <v>0</v>
      </c>
      <c r="M20" s="4">
        <f t="shared" si="2"/>
        <v>0</v>
      </c>
    </row>
    <row r="21" spans="1:13">
      <c r="A21" s="3" t="s">
        <v>39</v>
      </c>
      <c r="B21" s="2">
        <f>B7</f>
        <v>40.33</v>
      </c>
      <c r="C21" s="2">
        <f t="shared" ref="C21:M21" si="3">C7</f>
        <v>46.61</v>
      </c>
      <c r="D21" s="2">
        <f t="shared" si="3"/>
        <v>21.76</v>
      </c>
      <c r="E21" s="2">
        <f t="shared" si="3"/>
        <v>16.21</v>
      </c>
      <c r="F21" s="2">
        <f t="shared" si="3"/>
        <v>41.02</v>
      </c>
      <c r="G21" s="2">
        <f t="shared" si="3"/>
        <v>27.09</v>
      </c>
      <c r="H21" s="2">
        <f t="shared" si="3"/>
        <v>36170.33</v>
      </c>
      <c r="I21" s="2">
        <f t="shared" si="3"/>
        <v>33853.26</v>
      </c>
      <c r="J21" s="2">
        <f t="shared" si="3"/>
        <v>24575.23</v>
      </c>
      <c r="K21" s="2">
        <f t="shared" si="3"/>
        <v>24279.200000000001</v>
      </c>
      <c r="L21" s="2">
        <f t="shared" si="3"/>
        <v>0</v>
      </c>
      <c r="M21" s="2">
        <f t="shared" si="3"/>
        <v>0</v>
      </c>
    </row>
    <row r="22" spans="1:13">
      <c r="A22" s="2" t="s">
        <v>43</v>
      </c>
      <c r="B22" s="2">
        <f>B10</f>
        <v>7.27</v>
      </c>
      <c r="C22" s="2">
        <f t="shared" ref="C22:M22" si="4">C10</f>
        <v>5.16</v>
      </c>
      <c r="D22" s="2">
        <f t="shared" si="4"/>
        <v>2.11</v>
      </c>
      <c r="E22" s="2">
        <f t="shared" si="4"/>
        <v>-1.85</v>
      </c>
      <c r="F22" s="2">
        <f t="shared" si="4"/>
        <v>7.64</v>
      </c>
      <c r="G22" s="2">
        <f t="shared" si="4"/>
        <v>5.9</v>
      </c>
      <c r="H22" s="2">
        <f t="shared" si="4"/>
        <v>0</v>
      </c>
      <c r="I22" s="2">
        <f t="shared" si="4"/>
        <v>0</v>
      </c>
      <c r="J22" s="2">
        <f t="shared" si="4"/>
        <v>0</v>
      </c>
      <c r="K22" s="2">
        <f t="shared" si="4"/>
        <v>0</v>
      </c>
      <c r="L22" s="2">
        <f t="shared" si="4"/>
        <v>0</v>
      </c>
      <c r="M22" s="2">
        <f t="shared" si="4"/>
        <v>0</v>
      </c>
    </row>
    <row r="23" spans="1:13">
      <c r="A23" s="2" t="s">
        <v>44</v>
      </c>
      <c r="B23" s="2">
        <f>B15</f>
        <v>41.21</v>
      </c>
      <c r="C23" s="2">
        <f t="shared" ref="C23:M23" si="5">C15</f>
        <v>29.76</v>
      </c>
      <c r="D23" s="2">
        <f t="shared" si="5"/>
        <v>25.23</v>
      </c>
      <c r="E23" s="2">
        <f t="shared" si="5"/>
        <v>27.26</v>
      </c>
      <c r="F23" s="2">
        <f t="shared" si="5"/>
        <v>26.1</v>
      </c>
      <c r="G23" s="2">
        <f t="shared" si="5"/>
        <v>28.85</v>
      </c>
      <c r="H23" s="2">
        <f t="shared" si="5"/>
        <v>29.58</v>
      </c>
      <c r="I23" s="2">
        <f t="shared" si="5"/>
        <v>28.18</v>
      </c>
      <c r="J23" s="2">
        <f t="shared" si="5"/>
        <v>-42.48</v>
      </c>
      <c r="K23" s="2" t="b">
        <f t="shared" si="5"/>
        <v>0</v>
      </c>
      <c r="L23" s="2" t="b">
        <f t="shared" si="5"/>
        <v>0</v>
      </c>
      <c r="M23" s="2" t="b">
        <f t="shared" si="5"/>
        <v>0</v>
      </c>
    </row>
    <row r="25" spans="1:13">
      <c r="C25" s="3" t="s">
        <v>40</v>
      </c>
    </row>
  </sheetData>
  <sheetProtection formatCells="0" formatColumns="0" formatRows="0" insertColumns="0" insertRows="0" insertHyperlinks="0" deleteColumns="0" deleteRows="0" sort="0" autoFilter="0" pivotTables="0"/>
  <phoneticPr fontId="1" type="noConversion"/>
  <conditionalFormatting sqref="B18">
    <cfRule type="cellIs" dxfId="27" priority="55" stopIfTrue="1" operator="equal">
      <formula>"NG"</formula>
    </cfRule>
    <cfRule type="cellIs" dxfId="26" priority="56" stopIfTrue="1" operator="equal">
      <formula>"OK"</formula>
    </cfRule>
  </conditionalFormatting>
  <conditionalFormatting sqref="C18:K18">
    <cfRule type="cellIs" dxfId="25" priority="53" stopIfTrue="1" operator="equal">
      <formula>"NG"</formula>
    </cfRule>
    <cfRule type="cellIs" dxfId="24" priority="54" stopIfTrue="1" operator="equal">
      <formula>"OK"</formula>
    </cfRule>
  </conditionalFormatting>
  <conditionalFormatting sqref="L18:M18">
    <cfRule type="cellIs" dxfId="23" priority="51" stopIfTrue="1" operator="equal">
      <formula>"NG"</formula>
    </cfRule>
    <cfRule type="cellIs" dxfId="22" priority="52" stopIfTrue="1" operator="equal">
      <formula>"OK"</formula>
    </cfRule>
  </conditionalFormatting>
  <conditionalFormatting sqref="B19:B20">
    <cfRule type="cellIs" dxfId="21" priority="49" stopIfTrue="1" operator="lessThan">
      <formula>20</formula>
    </cfRule>
    <cfRule type="cellIs" dxfId="20" priority="50" stopIfTrue="1" operator="greaterThan">
      <formula>20</formula>
    </cfRule>
  </conditionalFormatting>
  <conditionalFormatting sqref="C19:E19">
    <cfRule type="cellIs" dxfId="19" priority="47" stopIfTrue="1" operator="lessThan">
      <formula>20</formula>
    </cfRule>
    <cfRule type="cellIs" dxfId="18" priority="48" stopIfTrue="1" operator="greaterThan">
      <formula>20</formula>
    </cfRule>
  </conditionalFormatting>
  <conditionalFormatting sqref="C20:E20">
    <cfRule type="cellIs" dxfId="17" priority="45" stopIfTrue="1" operator="lessThan">
      <formula>20</formula>
    </cfRule>
    <cfRule type="cellIs" dxfId="16" priority="46" stopIfTrue="1" operator="greaterThan">
      <formula>20</formula>
    </cfRule>
  </conditionalFormatting>
  <conditionalFormatting sqref="B21:E21">
    <cfRule type="cellIs" dxfId="15" priority="43" stopIfTrue="1" operator="lessThan">
      <formula>25</formula>
    </cfRule>
    <cfRule type="cellIs" dxfId="14" priority="44" stopIfTrue="1" operator="greaterThan">
      <formula>25</formula>
    </cfRule>
  </conditionalFormatting>
  <conditionalFormatting sqref="B22:E22">
    <cfRule type="cellIs" dxfId="13" priority="41" stopIfTrue="1" operator="lessThan">
      <formula>5</formula>
    </cfRule>
    <cfRule type="cellIs" dxfId="12" priority="42" stopIfTrue="1" operator="greaterThan">
      <formula>5</formula>
    </cfRule>
  </conditionalFormatting>
  <conditionalFormatting sqref="B23:E23">
    <cfRule type="cellIs" dxfId="11" priority="39" stopIfTrue="1" operator="lessThan">
      <formula>20</formula>
    </cfRule>
    <cfRule type="cellIs" dxfId="10" priority="40" stopIfTrue="1" operator="greaterThan">
      <formula>20</formula>
    </cfRule>
  </conditionalFormatting>
  <conditionalFormatting sqref="F21:M21">
    <cfRule type="cellIs" dxfId="9" priority="37" stopIfTrue="1" operator="lessThan">
      <formula>25</formula>
    </cfRule>
    <cfRule type="cellIs" dxfId="8" priority="38" stopIfTrue="1" operator="greaterThan">
      <formula>25</formula>
    </cfRule>
  </conditionalFormatting>
  <conditionalFormatting sqref="F22:M22">
    <cfRule type="cellIs" dxfId="7" priority="35" stopIfTrue="1" operator="lessThan">
      <formula>5</formula>
    </cfRule>
    <cfRule type="cellIs" dxfId="6" priority="36" stopIfTrue="1" operator="greaterThan">
      <formula>5</formula>
    </cfRule>
  </conditionalFormatting>
  <conditionalFormatting sqref="F23:M23">
    <cfRule type="cellIs" dxfId="5" priority="33" stopIfTrue="1" operator="lessThan">
      <formula>20</formula>
    </cfRule>
    <cfRule type="cellIs" dxfId="4" priority="34" stopIfTrue="1" operator="greaterThan">
      <formula>20</formula>
    </cfRule>
  </conditionalFormatting>
  <conditionalFormatting sqref="F19:M19">
    <cfRule type="cellIs" dxfId="3" priority="31" stopIfTrue="1" operator="lessThan">
      <formula>20</formula>
    </cfRule>
    <cfRule type="cellIs" dxfId="2" priority="32" stopIfTrue="1" operator="greaterThan">
      <formula>20</formula>
    </cfRule>
  </conditionalFormatting>
  <conditionalFormatting sqref="F20:M20">
    <cfRule type="cellIs" dxfId="1" priority="29" stopIfTrue="1" operator="lessThan">
      <formula>20</formula>
    </cfRule>
    <cfRule type="cellIs" dxfId="0" priority="30" stopIfTrue="1" operator="greaterThan">
      <formula>20</formula>
    </cfRule>
  </conditionalFormatting>
  <pageMargins left="0.7" right="0.7" top="0.75" bottom="0.75" header="0.3" footer="0.3"/>
  <pageSetup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param</vt:lpstr>
      <vt:lpstr>COPYSOURCE</vt:lpstr>
    </vt:vector>
  </TitlesOfParts>
  <Company/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2018-07-10T13:52:57Z</dcterms:modified>
</cp:coreProperties>
</file>